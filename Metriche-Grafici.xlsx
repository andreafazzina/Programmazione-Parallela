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iunict-my.sharepoint.com/personal/fzzndr00m05i754n_studium_unict_it/Documents/1° Anno/Prog. Parallela/"/>
    </mc:Choice>
  </mc:AlternateContent>
  <xr:revisionPtr revIDLastSave="451" documentId="8_{8D5BB12C-F251-4E03-A5B8-A839B13B8DCD}" xr6:coauthVersionLast="47" xr6:coauthVersionMax="47" xr10:uidLastSave="{B3066C12-84A9-4444-AE9C-B8152F329A6C}"/>
  <bookViews>
    <workbookView xWindow="-120" yWindow="-120" windowWidth="29040" windowHeight="15720" xr2:uid="{B153DFC6-9E4A-4EBB-A709-4ED51F83A86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5" i="1" l="1"/>
  <c r="H25" i="1" s="1"/>
  <c r="D25" i="1"/>
  <c r="G24" i="1"/>
  <c r="H24" i="1" s="1"/>
  <c r="D24" i="1"/>
  <c r="G23" i="1"/>
  <c r="H23" i="1" s="1"/>
  <c r="D23" i="1"/>
  <c r="G21" i="1"/>
  <c r="H21" i="1" s="1"/>
  <c r="G20" i="1"/>
  <c r="H20" i="1" s="1"/>
  <c r="G19" i="1"/>
  <c r="H19" i="1" s="1"/>
  <c r="G18" i="1"/>
  <c r="H18" i="1" s="1"/>
  <c r="D18" i="1"/>
  <c r="G10" i="1"/>
  <c r="G9" i="1"/>
  <c r="G8" i="1"/>
  <c r="G7" i="1"/>
  <c r="G6" i="1"/>
  <c r="G5" i="1"/>
  <c r="G4" i="1"/>
  <c r="D19" i="1"/>
  <c r="D11" i="1"/>
  <c r="D12" i="1"/>
  <c r="D4" i="1"/>
  <c r="D5" i="1"/>
  <c r="D6" i="1"/>
  <c r="D7" i="1"/>
  <c r="D8" i="1"/>
  <c r="D9" i="1"/>
  <c r="D10" i="1"/>
  <c r="G12" i="1"/>
  <c r="G11" i="1"/>
  <c r="H9" i="1"/>
  <c r="H5" i="1"/>
  <c r="H6" i="1" l="1"/>
  <c r="H11" i="1"/>
  <c r="H12" i="1"/>
  <c r="H10" i="1"/>
  <c r="H7" i="1"/>
  <c r="H8" i="1"/>
  <c r="H4" i="1"/>
</calcChain>
</file>

<file path=xl/sharedStrings.xml><?xml version="1.0" encoding="utf-8"?>
<sst xmlns="http://schemas.openxmlformats.org/spreadsheetml/2006/main" count="20" uniqueCount="12">
  <si>
    <t>Processi MPI</t>
  </si>
  <si>
    <t>Thread OpenMP</t>
  </si>
  <si>
    <t>Core Totali (N)</t>
  </si>
  <si>
    <t>Tempo di Esecuzione</t>
  </si>
  <si>
    <t>Throughput (hash/s)</t>
  </si>
  <si>
    <t>Speedup (S)</t>
  </si>
  <si>
    <t>Efficienza (E)</t>
  </si>
  <si>
    <t>V.1</t>
  </si>
  <si>
    <t>V.2</t>
  </si>
  <si>
    <t>11084810.38</t>
  </si>
  <si>
    <t>14375420.13</t>
  </si>
  <si>
    <t>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</si>
</sst>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Foglio1!$G$3</c:f>
              <c:strCache>
                <c:ptCount val="1"/>
                <c:pt idx="0">
                  <c:v>Speedup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Foglio1!$D$4:$D$12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</c:numCache>
            </c:numRef>
          </c:cat>
          <c:val>
            <c:numRef>
              <c:f>Foglio1!$G$4:$G$12</c:f>
              <c:numCache>
                <c:formatCode>General</c:formatCode>
                <c:ptCount val="9"/>
                <c:pt idx="0">
                  <c:v>1</c:v>
                </c:pt>
                <c:pt idx="1">
                  <c:v>1.7593972924412502</c:v>
                </c:pt>
                <c:pt idx="2">
                  <c:v>1.8406692598313823</c:v>
                </c:pt>
                <c:pt idx="3">
                  <c:v>2.6957070821787128</c:v>
                </c:pt>
                <c:pt idx="4">
                  <c:v>2.7011552852707958</c:v>
                </c:pt>
                <c:pt idx="5">
                  <c:v>4.5154775674194925</c:v>
                </c:pt>
                <c:pt idx="6">
                  <c:v>3.0681247091670545</c:v>
                </c:pt>
                <c:pt idx="7">
                  <c:v>5.2521241945762229</c:v>
                </c:pt>
                <c:pt idx="8">
                  <c:v>6.4093795904259911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1-4559-BF45-603622CE5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8411007"/>
        <c:axId val="1187079599"/>
      </c:barChart>
      <c:catAx>
        <c:axId val="118841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87079599"/>
        <c:crosses val="autoZero"/>
        <c:auto val="1"/>
        <c:lblAlgn val="ctr"/>
        <c:lblOffset val="100"/>
        <c:noMultiLvlLbl val="0"/>
      </c:catAx>
      <c:valAx>
        <c:axId val="118707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8841100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Foglio1!$H$3</c:f>
              <c:strCache>
                <c:ptCount val="1"/>
                <c:pt idx="0">
                  <c:v>Efficienza (E)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Foglio1!$D$4:$D$12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</c:numCache>
            </c:numRef>
          </c:cat>
          <c:val>
            <c:numRef>
              <c:f>Foglio1!$H$4:$H$12</c:f>
              <c:numCache>
                <c:formatCode>General</c:formatCode>
                <c:ptCount val="9"/>
                <c:pt idx="0">
                  <c:v>1</c:v>
                </c:pt>
                <c:pt idx="1">
                  <c:v>0.8796986462206251</c:v>
                </c:pt>
                <c:pt idx="2">
                  <c:v>0.92033462991569115</c:v>
                </c:pt>
                <c:pt idx="3">
                  <c:v>0.6739267705446782</c:v>
                </c:pt>
                <c:pt idx="4">
                  <c:v>0.33764441065884948</c:v>
                </c:pt>
                <c:pt idx="5">
                  <c:v>0.56443469592743656</c:v>
                </c:pt>
                <c:pt idx="6">
                  <c:v>0.19175779432294091</c:v>
                </c:pt>
                <c:pt idx="7">
                  <c:v>0.32825776216101393</c:v>
                </c:pt>
                <c:pt idx="8">
                  <c:v>0.40058622440162445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5-4EED-BBB8-759F158C2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5359695"/>
        <c:axId val="1187046479"/>
      </c:barChart>
      <c:catAx>
        <c:axId val="152535969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87046479"/>
        <c:crosses val="autoZero"/>
        <c:auto val="1"/>
        <c:lblAlgn val="ctr"/>
        <c:lblOffset val="100"/>
        <c:noMultiLvlLbl val="0"/>
      </c:catAx>
      <c:valAx>
        <c:axId val="118704647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2535969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Speedup (S)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Foglio1!$G$3</c:f>
              <c:strCache>
                <c:ptCount val="1"/>
                <c:pt idx="0">
                  <c:v>Speedup (S)</c:v>
                </c:pt>
              </c:strCache>
            </c:strRef>
          </c:tx>
          <c:invertIfNegative val="0"/>
          <c:cat>
            <c:numRef>
              <c:f>Foglio1!$D$19:$D$21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Foglio1!$G$23:$G$25</c:f>
              <c:numCache>
                <c:formatCode>General</c:formatCode>
                <c:ptCount val="3"/>
                <c:pt idx="0">
                  <c:v>2.6957070821787128</c:v>
                </c:pt>
                <c:pt idx="1">
                  <c:v>4.5154775674194925</c:v>
                </c:pt>
                <c:pt idx="2">
                  <c:v>6.4093795904259911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80-4437-85D0-86D16888850D}"/>
            </c:ext>
          </c:extLst>
        </c:ser>
        <c:ser>
          <c:idx val="0"/>
          <c:order val="1"/>
          <c:tx>
            <c:strRef>
              <c:f>Foglio1!$G$3</c:f>
              <c:strCache>
                <c:ptCount val="1"/>
                <c:pt idx="0">
                  <c:v>Speedup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Foglio1!$D$19:$D$21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Foglio1!$G$19:$G$21</c:f>
              <c:numCache>
                <c:formatCode>General</c:formatCode>
                <c:ptCount val="3"/>
                <c:pt idx="0">
                  <c:v>2.8920068937985026</c:v>
                </c:pt>
                <c:pt idx="1">
                  <c:v>4.7033523887947553</c:v>
                </c:pt>
                <c:pt idx="2">
                  <c:v>6.0995605208033838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80-4437-85D0-86D168888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8411007"/>
        <c:axId val="1187079599"/>
      </c:barChart>
      <c:catAx>
        <c:axId val="118841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87079599"/>
        <c:crosses val="autoZero"/>
        <c:auto val="1"/>
        <c:lblAlgn val="ctr"/>
        <c:lblOffset val="100"/>
        <c:noMultiLvlLbl val="0"/>
      </c:catAx>
      <c:valAx>
        <c:axId val="118707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88411007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Efficienza</a:t>
            </a:r>
            <a:r>
              <a:rPr lang="en-US" baseline="0"/>
              <a:t> (E)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Foglio1!$H$3</c:f>
              <c:strCache>
                <c:ptCount val="1"/>
                <c:pt idx="0">
                  <c:v>Efficienza (E)</c:v>
                </c:pt>
              </c:strCache>
            </c:strRef>
          </c:tx>
          <c:invertIfNegative val="0"/>
          <c:cat>
            <c:numRef>
              <c:f>Foglio1!$D$19:$D$21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Foglio1!$H$23:$H$25</c:f>
              <c:numCache>
                <c:formatCode>General</c:formatCode>
                <c:ptCount val="3"/>
                <c:pt idx="0">
                  <c:v>0.6739267705446782</c:v>
                </c:pt>
                <c:pt idx="1">
                  <c:v>0.56443469592743656</c:v>
                </c:pt>
                <c:pt idx="2">
                  <c:v>0.40058622440162445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E0-4BA6-A2BE-5CC3E5DA09FA}"/>
            </c:ext>
          </c:extLst>
        </c:ser>
        <c:ser>
          <c:idx val="0"/>
          <c:order val="1"/>
          <c:tx>
            <c:strRef>
              <c:f>Foglio1!$H$3</c:f>
              <c:strCache>
                <c:ptCount val="1"/>
                <c:pt idx="0">
                  <c:v>Efficienza (E)</c:v>
                </c:pt>
              </c:strCache>
            </c:strRef>
          </c:tx>
          <c:invertIfNegative val="0"/>
          <c:cat>
            <c:numRef>
              <c:f>Foglio1!$D$19:$D$21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Foglio1!$H$19:$H$21</c:f>
              <c:numCache>
                <c:formatCode>General</c:formatCode>
                <c:ptCount val="3"/>
                <c:pt idx="0">
                  <c:v>0.72300172344962566</c:v>
                </c:pt>
                <c:pt idx="1">
                  <c:v>0.58791904859934441</c:v>
                </c:pt>
                <c:pt idx="2">
                  <c:v>0.38122253255021149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E0-4BA6-A2BE-5CC3E5DA0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5359695"/>
        <c:axId val="1187046479"/>
      </c:barChart>
      <c:catAx>
        <c:axId val="152535969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87046479"/>
        <c:crosses val="autoZero"/>
        <c:auto val="1"/>
        <c:lblAlgn val="ctr"/>
        <c:lblOffset val="100"/>
        <c:noMultiLvlLbl val="0"/>
      </c:catAx>
      <c:valAx>
        <c:axId val="118704647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25359695"/>
        <c:crosses val="autoZero"/>
        <c:crossBetween val="between"/>
        <c:majorUnit val="0.2"/>
      </c:valAx>
    </c:plotArea>
    <c:plotVisOnly val="1"/>
    <c:dispBlanksAs val="gap"/>
    <c:showDLblsOverMax val="0"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669192</xdr:colOff>
      <xdr:row>1</xdr:row>
      <xdr:rowOff>189819</xdr:rowOff>
    </xdr:from>
    <xdr:to>
      <xdr:col>12</xdr:col>
      <xdr:colOff>224065</xdr:colOff>
      <xdr:row>11</xdr:row>
      <xdr:rowOff>161192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B054E91-EC93-7C1A-2076-BD5915B60A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699408</xdr:colOff>
      <xdr:row>2</xdr:row>
      <xdr:rowOff>19504</xdr:rowOff>
    </xdr:from>
    <xdr:to>
      <xdr:col>15</xdr:col>
      <xdr:colOff>544287</xdr:colOff>
      <xdr:row>12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FAD9D71-84BE-33CD-3051-B8AB7DE55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706273</xdr:colOff>
      <xdr:row>14</xdr:row>
      <xdr:rowOff>142841</xdr:rowOff>
    </xdr:from>
    <xdr:to>
      <xdr:col>11</xdr:col>
      <xdr:colOff>905819</xdr:colOff>
      <xdr:row>25</xdr:row>
      <xdr:rowOff>26560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E2411850-2BAF-4410-9EB3-671503E40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458304</xdr:colOff>
      <xdr:row>14</xdr:row>
      <xdr:rowOff>115958</xdr:rowOff>
    </xdr:from>
    <xdr:to>
      <xdr:col>15</xdr:col>
      <xdr:colOff>560870</xdr:colOff>
      <xdr:row>25</xdr:row>
      <xdr:rowOff>14218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CE11C5BA-2F8A-4EEA-AE79-F2EB9A502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0B4A-DB19-4421-A705-971A80EF9C6B}">
  <dimension ref="A2:H26"/>
  <sheetViews>
    <sheetView tabSelected="1" zoomScaleNormal="100" workbookViewId="0">
      <selection activeCell="G30" sqref="G30"/>
    </sheetView>
  </sheetViews>
  <sheetFormatPr defaultRowHeight="15" x14ac:dyDescent="0.25"/>
  <cols>
    <col min="1" max="1" width="12.28515625" bestFit="1" customWidth="1"/>
    <col min="2" max="2" width="13.42578125" bestFit="1" customWidth="1"/>
    <col min="3" max="3" width="17.140625" bestFit="1" customWidth="1"/>
    <col min="4" max="4" width="14.42578125" bestFit="1" customWidth="1"/>
    <col min="5" max="5" width="21.7109375" bestFit="1" customWidth="1"/>
    <col min="6" max="6" width="20.5703125" bestFit="1" customWidth="1"/>
    <col min="7" max="8" width="14.85546875" bestFit="1" customWidth="1"/>
    <col min="9" max="9" width="19.42578125" bestFit="1" customWidth="1"/>
    <col min="10" max="10" width="12.28515625" bestFit="1" customWidth="1"/>
    <col min="11" max="11" width="15.140625" bestFit="1" customWidth="1"/>
    <col min="12" max="12" width="13.85546875" bestFit="1" customWidth="1"/>
    <col min="13" max="13" width="19.7109375" bestFit="1" customWidth="1"/>
    <col min="14" max="14" width="19.42578125" bestFit="1" customWidth="1"/>
    <col min="15" max="16" width="12.85546875" bestFit="1" customWidth="1"/>
  </cols>
  <sheetData>
    <row r="2" spans="1:8" x14ac:dyDescent="0.25">
      <c r="B2" s="1"/>
      <c r="C2" s="1"/>
      <c r="D2" s="1"/>
      <c r="E2" s="1"/>
      <c r="F2" s="1"/>
      <c r="G2" s="1"/>
      <c r="H2" s="1"/>
    </row>
    <row r="3" spans="1:8" x14ac:dyDescent="0.25">
      <c r="A3" t="s">
        <v>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 x14ac:dyDescent="0.25">
      <c r="B4" s="1">
        <v>1</v>
      </c>
      <c r="C4" s="1">
        <v>1</v>
      </c>
      <c r="D4" s="1">
        <f>B4*C4</f>
        <v>1</v>
      </c>
      <c r="E4" s="1">
        <v>0.29670299999999999</v>
      </c>
      <c r="F4" s="1">
        <v>2359261.7999999998</v>
      </c>
      <c r="G4" s="1">
        <f t="shared" ref="G4:G12" si="0">$E$4/E4</f>
        <v>1</v>
      </c>
      <c r="H4" s="1">
        <f>G4/D4</f>
        <v>1</v>
      </c>
    </row>
    <row r="5" spans="1:8" x14ac:dyDescent="0.25">
      <c r="B5" s="1">
        <v>2</v>
      </c>
      <c r="C5" s="1">
        <v>1</v>
      </c>
      <c r="D5" s="1">
        <f t="shared" ref="D5" si="1">B5*C5</f>
        <v>2</v>
      </c>
      <c r="E5" s="1">
        <v>0.16863900000000001</v>
      </c>
      <c r="F5" s="1">
        <v>4150883.99</v>
      </c>
      <c r="G5" s="1">
        <f t="shared" si="0"/>
        <v>1.7593972924412502</v>
      </c>
      <c r="H5" s="1">
        <f t="shared" ref="H5" si="2">G5/D5</f>
        <v>0.8796986462206251</v>
      </c>
    </row>
    <row r="6" spans="1:8" x14ac:dyDescent="0.25">
      <c r="B6" s="1">
        <v>1</v>
      </c>
      <c r="C6" s="1">
        <v>2</v>
      </c>
      <c r="D6" s="1">
        <f t="shared" ref="D6" si="3">B6*C6</f>
        <v>2</v>
      </c>
      <c r="E6" s="1">
        <v>0.161193</v>
      </c>
      <c r="F6" s="1">
        <v>4342612.82</v>
      </c>
      <c r="G6" s="1">
        <f t="shared" si="0"/>
        <v>1.8406692598313823</v>
      </c>
      <c r="H6" s="1">
        <f t="shared" ref="H6" si="4">G6/D6</f>
        <v>0.92033462991569115</v>
      </c>
    </row>
    <row r="7" spans="1:8" x14ac:dyDescent="0.25">
      <c r="B7" s="1">
        <v>2</v>
      </c>
      <c r="C7" s="1">
        <v>2</v>
      </c>
      <c r="D7" s="1">
        <f t="shared" ref="D7" si="5">B7*C7</f>
        <v>4</v>
      </c>
      <c r="E7" s="1">
        <v>0.110065</v>
      </c>
      <c r="F7" s="1">
        <v>6359885.4199999999</v>
      </c>
      <c r="G7" s="1">
        <f t="shared" si="0"/>
        <v>2.6957070821787128</v>
      </c>
      <c r="H7" s="1">
        <f t="shared" ref="H7:H12" si="6">G7/D7</f>
        <v>0.6739267705446782</v>
      </c>
    </row>
    <row r="8" spans="1:8" x14ac:dyDescent="0.25">
      <c r="B8" s="1">
        <v>2</v>
      </c>
      <c r="C8" s="1">
        <v>4</v>
      </c>
      <c r="D8" s="1">
        <f>B8*C8</f>
        <v>8</v>
      </c>
      <c r="E8" s="1">
        <v>0.109843</v>
      </c>
      <c r="F8" s="1">
        <v>6372742.96</v>
      </c>
      <c r="G8" s="1">
        <f t="shared" si="0"/>
        <v>2.7011552852707958</v>
      </c>
      <c r="H8" s="1">
        <f t="shared" si="6"/>
        <v>0.33764441065884948</v>
      </c>
    </row>
    <row r="9" spans="1:8" x14ac:dyDescent="0.25">
      <c r="B9" s="1">
        <v>4</v>
      </c>
      <c r="C9" s="1">
        <v>2</v>
      </c>
      <c r="D9" s="1">
        <f>B9*C9</f>
        <v>8</v>
      </c>
      <c r="E9" s="1">
        <v>6.5708000000000003E-2</v>
      </c>
      <c r="F9" s="1">
        <v>10653230.199999999</v>
      </c>
      <c r="G9" s="1">
        <f t="shared" si="0"/>
        <v>4.5154775674194925</v>
      </c>
      <c r="H9" s="1">
        <f>G9/D9</f>
        <v>0.56443469592743656</v>
      </c>
    </row>
    <row r="10" spans="1:8" x14ac:dyDescent="0.25">
      <c r="B10" s="1">
        <v>2</v>
      </c>
      <c r="C10" s="1">
        <v>8</v>
      </c>
      <c r="D10" s="1">
        <f>B10*C10</f>
        <v>16</v>
      </c>
      <c r="E10" s="1">
        <v>9.6704999999999999E-2</v>
      </c>
      <c r="F10" s="1">
        <v>7238505.4199999999</v>
      </c>
      <c r="G10" s="1">
        <f t="shared" si="0"/>
        <v>3.0681247091670545</v>
      </c>
      <c r="H10" s="1">
        <f>G10/D10</f>
        <v>0.19175779432294091</v>
      </c>
    </row>
    <row r="11" spans="1:8" x14ac:dyDescent="0.25">
      <c r="B11" s="1">
        <v>4</v>
      </c>
      <c r="C11" s="1">
        <v>4</v>
      </c>
      <c r="D11" s="1">
        <f>B11*C11</f>
        <v>16</v>
      </c>
      <c r="E11" s="1">
        <v>5.6492000000000001E-2</v>
      </c>
      <c r="F11" s="1">
        <v>12391088.09</v>
      </c>
      <c r="G11" s="1">
        <f t="shared" si="0"/>
        <v>5.2521241945762229</v>
      </c>
      <c r="H11" s="1">
        <f t="shared" si="6"/>
        <v>0.32825776216101393</v>
      </c>
    </row>
    <row r="12" spans="1:8" x14ac:dyDescent="0.25">
      <c r="B12" s="1">
        <v>8</v>
      </c>
      <c r="C12" s="1">
        <v>2</v>
      </c>
      <c r="D12" s="1">
        <f>B12*C12</f>
        <v>16</v>
      </c>
      <c r="E12" s="1">
        <v>4.6292E-2</v>
      </c>
      <c r="F12" s="1">
        <v>15121253.99</v>
      </c>
      <c r="G12" s="1">
        <f t="shared" si="0"/>
        <v>6.4093795904259911</v>
      </c>
      <c r="H12" s="1">
        <f t="shared" si="6"/>
        <v>0.40058622440162445</v>
      </c>
    </row>
    <row r="13" spans="1:8" x14ac:dyDescent="0.25">
      <c r="B13" s="1"/>
      <c r="C13" s="1"/>
      <c r="D13" s="1"/>
      <c r="E13" s="1"/>
      <c r="F13" s="1"/>
      <c r="G13" s="1"/>
      <c r="H13" s="1"/>
    </row>
    <row r="14" spans="1:8" x14ac:dyDescent="0.25">
      <c r="B14" s="1"/>
      <c r="C14" s="1"/>
      <c r="D14" s="1"/>
      <c r="E14" s="1"/>
      <c r="F14" s="1"/>
      <c r="G14" s="1"/>
      <c r="H14" s="1"/>
    </row>
    <row r="15" spans="1:8" x14ac:dyDescent="0.25">
      <c r="B15" s="1"/>
      <c r="C15" s="1"/>
      <c r="D15" s="1"/>
      <c r="E15" s="1"/>
      <c r="F15" s="1"/>
      <c r="G15" s="1"/>
      <c r="H15" s="1"/>
    </row>
    <row r="16" spans="1:8" x14ac:dyDescent="0.25">
      <c r="B16" s="1"/>
      <c r="C16" s="1"/>
      <c r="D16" s="1"/>
      <c r="E16" s="1"/>
      <c r="F16" s="1"/>
      <c r="G16" s="1"/>
      <c r="H16" s="1"/>
    </row>
    <row r="17" spans="1:8" x14ac:dyDescent="0.25">
      <c r="A17" t="s">
        <v>8</v>
      </c>
      <c r="B17" s="1" t="s">
        <v>0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</row>
    <row r="18" spans="1:8" x14ac:dyDescent="0.25">
      <c r="B18" s="1">
        <v>1</v>
      </c>
      <c r="C18" s="1">
        <v>1</v>
      </c>
      <c r="D18" s="1">
        <f>B18*C18</f>
        <v>1</v>
      </c>
      <c r="E18" s="1">
        <v>0.297012</v>
      </c>
      <c r="F18" s="1">
        <v>2356805.5299999998</v>
      </c>
      <c r="G18" s="1">
        <f>$E$18/E18</f>
        <v>1</v>
      </c>
      <c r="H18" s="1">
        <f>G18/D18</f>
        <v>1</v>
      </c>
    </row>
    <row r="19" spans="1:8" x14ac:dyDescent="0.25">
      <c r="B19" s="1">
        <v>2</v>
      </c>
      <c r="C19" s="1">
        <v>2</v>
      </c>
      <c r="D19" s="1">
        <f t="shared" ref="D19" si="7">B19*C19</f>
        <v>4</v>
      </c>
      <c r="E19" s="1">
        <v>0.102701</v>
      </c>
      <c r="F19" s="1">
        <v>6815883.4299999997</v>
      </c>
      <c r="G19" s="1">
        <f>$E$18/E19</f>
        <v>2.8920068937985026</v>
      </c>
      <c r="H19" s="1">
        <f>G19/D19</f>
        <v>0.72300172344962566</v>
      </c>
    </row>
    <row r="20" spans="1:8" x14ac:dyDescent="0.25">
      <c r="B20" s="1">
        <v>4</v>
      </c>
      <c r="C20" s="1">
        <v>2</v>
      </c>
      <c r="D20" s="1">
        <v>8</v>
      </c>
      <c r="E20" s="1">
        <v>6.3148999999999997E-2</v>
      </c>
      <c r="F20" s="1" t="s">
        <v>9</v>
      </c>
      <c r="G20" s="1">
        <f>$E$18/E20</f>
        <v>4.7033523887947553</v>
      </c>
      <c r="H20" s="1">
        <f>G20/D20</f>
        <v>0.58791904859934441</v>
      </c>
    </row>
    <row r="21" spans="1:8" x14ac:dyDescent="0.25">
      <c r="B21" s="1">
        <v>8</v>
      </c>
      <c r="C21" s="1">
        <v>2</v>
      </c>
      <c r="D21" s="1">
        <v>16</v>
      </c>
      <c r="E21" s="1">
        <v>4.8694000000000001E-2</v>
      </c>
      <c r="F21" s="1" t="s">
        <v>10</v>
      </c>
      <c r="G21" s="1">
        <f>$E$18/E21</f>
        <v>6.0995605208033838</v>
      </c>
      <c r="H21" s="1">
        <f t="shared" ref="H21" si="8">G21/D21</f>
        <v>0.38122253255021149</v>
      </c>
    </row>
    <row r="22" spans="1:8" x14ac:dyDescent="0.25">
      <c r="A22" t="s">
        <v>11</v>
      </c>
      <c r="B22" s="1"/>
      <c r="C22" s="1"/>
      <c r="D22" s="1"/>
      <c r="E22" s="1"/>
      <c r="F22" s="1"/>
      <c r="G22" s="1"/>
      <c r="H22" s="1"/>
    </row>
    <row r="23" spans="1:8" x14ac:dyDescent="0.25">
      <c r="A23" t="s">
        <v>7</v>
      </c>
      <c r="B23" s="1">
        <v>2</v>
      </c>
      <c r="C23" s="1">
        <v>2</v>
      </c>
      <c r="D23" s="1">
        <f t="shared" ref="D23" si="9">B23*C23</f>
        <v>4</v>
      </c>
      <c r="E23" s="1">
        <v>0.110065</v>
      </c>
      <c r="F23" s="1">
        <v>6359885.4199999999</v>
      </c>
      <c r="G23" s="1">
        <f>$E$4/E23</f>
        <v>2.6957070821787128</v>
      </c>
      <c r="H23" s="1">
        <f t="shared" ref="H23" si="10">G23/D23</f>
        <v>0.6739267705446782</v>
      </c>
    </row>
    <row r="24" spans="1:8" x14ac:dyDescent="0.25">
      <c r="B24" s="1">
        <v>4</v>
      </c>
      <c r="C24" s="1">
        <v>2</v>
      </c>
      <c r="D24" s="1">
        <f>B24*C24</f>
        <v>8</v>
      </c>
      <c r="E24" s="1">
        <v>6.5708000000000003E-2</v>
      </c>
      <c r="F24" s="1">
        <v>10653230.199999999</v>
      </c>
      <c r="G24" s="1">
        <f>$E$4/E24</f>
        <v>4.5154775674194925</v>
      </c>
      <c r="H24" s="1">
        <f>G24/D24</f>
        <v>0.56443469592743656</v>
      </c>
    </row>
    <row r="25" spans="1:8" x14ac:dyDescent="0.25">
      <c r="B25" s="1">
        <v>8</v>
      </c>
      <c r="C25" s="1">
        <v>2</v>
      </c>
      <c r="D25" s="1">
        <f>B25*C25</f>
        <v>16</v>
      </c>
      <c r="E25" s="1">
        <v>4.6292E-2</v>
      </c>
      <c r="F25" s="1">
        <v>15121253.99</v>
      </c>
      <c r="G25" s="1">
        <f>$E$4/E25</f>
        <v>6.4093795904259911</v>
      </c>
      <c r="H25" s="1">
        <f t="shared" ref="H25" si="11">G25/D25</f>
        <v>0.40058622440162445</v>
      </c>
    </row>
    <row r="26" spans="1:8" x14ac:dyDescent="0.25">
      <c r="B26" s="1"/>
      <c r="C26" s="1"/>
      <c r="D26" s="1"/>
      <c r="E26" s="1"/>
      <c r="F26" s="1"/>
      <c r="G26" s="1"/>
      <c r="H2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FAZZINA</dc:creator>
  <cp:lastModifiedBy>ANDREA FAZZINA</cp:lastModifiedBy>
  <dcterms:created xsi:type="dcterms:W3CDTF">2026-09-12T16:57:37Z</dcterms:created>
  <dcterms:modified xsi:type="dcterms:W3CDTF">2026-09-17T16:28:53Z</dcterms:modified>
</cp:coreProperties>
</file>